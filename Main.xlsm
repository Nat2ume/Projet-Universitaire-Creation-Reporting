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érémy\Documents\GitHub\Projet-Universitaire-Creation-Reporting\"/>
    </mc:Choice>
  </mc:AlternateContent>
  <xr:revisionPtr revIDLastSave="0" documentId="13_ncr:1_{AB5D718F-7423-4D4D-86B3-E4021E4033B8}" xr6:coauthVersionLast="47" xr6:coauthVersionMax="47" xr10:uidLastSave="{00000000-0000-0000-0000-000000000000}"/>
  <bookViews>
    <workbookView xWindow="-108" yWindow="-108" windowWidth="23256" windowHeight="12576" tabRatio="925" xr2:uid="{6AA46C1D-3959-45A6-8A1F-C28DA7F9B141}"/>
  </bookViews>
  <sheets>
    <sheet name="Menu" sheetId="9" r:id="rId1"/>
    <sheet name="Semestres" sheetId="10" r:id="rId2"/>
    <sheet name="NotesSemestre1" sheetId="7" r:id="rId3"/>
    <sheet name="NotesSemestre2" sheetId="8" r:id="rId4"/>
    <sheet name="MoyennesAnnee" sheetId="11" r:id="rId5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7" l="1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" i="7"/>
  <c r="D2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3" i="8"/>
  <c r="D4" i="8"/>
  <c r="D5" i="8"/>
  <c r="D6" i="8"/>
  <c r="B2" i="11" a="1"/>
  <c r="E4" i="11" a="1"/>
  <c r="E2" i="11" a="1"/>
  <c r="B4" i="11" a="1"/>
  <c r="B3" i="11" a="1"/>
  <c r="E3" i="11" a="1"/>
  <c r="E3" i="11" l="1"/>
  <c r="B2" i="11"/>
  <c r="B3" i="11"/>
  <c r="H3" i="11" s="1"/>
  <c r="B4" i="11"/>
  <c r="E2" i="11"/>
  <c r="E4" i="11"/>
  <c r="H4" i="11" l="1"/>
  <c r="H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<sst xmlns="http://schemas.openxmlformats.org/spreadsheetml/2006/main" count="92" uniqueCount="50">
  <si>
    <t>Semestre1</t>
  </si>
  <si>
    <t>Semestre2</t>
  </si>
  <si>
    <t>Semestre3</t>
  </si>
  <si>
    <t>Semestre4</t>
  </si>
  <si>
    <t>Semestre5</t>
  </si>
  <si>
    <t>Semestre6</t>
  </si>
  <si>
    <t>Semestre 1</t>
  </si>
  <si>
    <t>Note</t>
  </si>
  <si>
    <t>Moyenne</t>
  </si>
  <si>
    <t>Compétence 1 :
Traiter des données à des fins décisionnelles</t>
  </si>
  <si>
    <t>Tableur et Reporting</t>
  </si>
  <si>
    <t>Bases de données relationnelles 1</t>
  </si>
  <si>
    <t>Bases de la programmation 1</t>
  </si>
  <si>
    <t>PPP1</t>
  </si>
  <si>
    <t xml:space="preserve">SAÉ - Reporting à partir de données stockées dans un SGBD relationnel </t>
  </si>
  <si>
    <t>SAÉ - Écriture et lecture de fichiers de données</t>
  </si>
  <si>
    <t>Compétence 2 :
Analyser statistiquement les données</t>
  </si>
  <si>
    <t>Statistique descriptive 1</t>
  </si>
  <si>
    <t>Probabilités 1</t>
  </si>
  <si>
    <t>Mathématiques - analyse</t>
  </si>
  <si>
    <t>SAÉ - Préparation et synthèse d'un tableau de données en vue d'une analyse exploratoire simple</t>
  </si>
  <si>
    <t>Compétence 3 :
Valoriser une production dans un contexte professionnel</t>
  </si>
  <si>
    <t>Initiation à l'anglais de spécialité</t>
  </si>
  <si>
    <t>Communication de l'information et recherche documentaire</t>
  </si>
  <si>
    <t xml:space="preserve">Découverte des données de l’environnement entrepreneurial et économique </t>
  </si>
  <si>
    <t>SAÉ - Apprendre en situation la production de données en entreprise</t>
  </si>
  <si>
    <t>SAÉ - Présentation en anglais d'un territoire économique et culturel</t>
  </si>
  <si>
    <t>SAÉ - Mise en oeuvre d'une enquête</t>
  </si>
  <si>
    <t>Semestre 2</t>
  </si>
  <si>
    <t>Reporting et datavisualisation</t>
  </si>
  <si>
    <t>Bases de données relationnelles 2</t>
  </si>
  <si>
    <t>Bases de la programmation 2</t>
  </si>
  <si>
    <t>Programmation statistique</t>
  </si>
  <si>
    <t>PPP2</t>
  </si>
  <si>
    <t>SAÉ - Conception et implémentation d'une base de données</t>
  </si>
  <si>
    <t>SAÉ - Datavisualisation</t>
  </si>
  <si>
    <t>SAÉ - Analyse de données, reporting et datavisualisation</t>
  </si>
  <si>
    <t>SAÉ - Portfolio</t>
  </si>
  <si>
    <t>Statistique descriptive 2</t>
  </si>
  <si>
    <t>Probabilités 2</t>
  </si>
  <si>
    <t>Bases de l'algèbre</t>
  </si>
  <si>
    <t>Statistique inférentielle</t>
  </si>
  <si>
    <t>SAÉ - Estimation par échantillonnage</t>
  </si>
  <si>
    <t>SAÉ - Régression sur des données réelles</t>
  </si>
  <si>
    <t>Approfondissement de l'anglais de spécialité</t>
  </si>
  <si>
    <t>Communication et sémiologie</t>
  </si>
  <si>
    <t>Étude des données de l'environnement entrepreneurial et économique</t>
  </si>
  <si>
    <t>SAÉ - Construction et présentation d'indicateurs de performance</t>
  </si>
  <si>
    <t>Moyenne compétence</t>
  </si>
  <si>
    <t>Moyenne 1ère 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</si>
</sst>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 wrapText="1"/>
    </xf>
    <xf numFmtId="0" fontId="1" fillId="5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vertical="center"/>
    </xf>
    <xf numFmtId="0" fontId="1" fillId="6" borderId="3" xfId="0" applyFont="1" applyFill="1" applyBorder="1" applyAlignment="1">
      <alignment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 wrapText="1"/>
    </xf>
    <xf numFmtId="0" fontId="1" fillId="6" borderId="3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2" fillId="6" borderId="5" xfId="0" applyFont="1" applyFill="1" applyBorder="1" applyAlignment="1">
      <alignment horizontal="left" vertical="center" wrapText="1"/>
    </xf>
    <xf numFmtId="0" fontId="2" fillId="4" borderId="5" xfId="0" applyFont="1" applyFill="1" applyBorder="1" applyAlignment="1">
      <alignment horizontal="left" vertical="center" wrapText="1"/>
    </xf>
    <xf numFmtId="0" fontId="2" fillId="7" borderId="5" xfId="0" applyFont="1" applyFill="1" applyBorder="1" applyAlignment="1">
      <alignment horizontal="left" vertical="center" wrapText="1"/>
    </xf>
    <xf numFmtId="0" fontId="2" fillId="5" borderId="5" xfId="0" applyFont="1" applyFill="1" applyBorder="1" applyAlignment="1">
      <alignment horizontal="left" vertical="center"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1" fillId="7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1" fillId="6" borderId="4" xfId="0" applyFont="1" applyFill="1" applyBorder="1" applyAlignment="1">
      <alignment vertical="center"/>
    </xf>
    <xf numFmtId="0" fontId="1" fillId="6" borderId="4" xfId="0" applyFont="1" applyFill="1" applyBorder="1" applyAlignment="1">
      <alignment horizontal="center" vertical="center"/>
    </xf>
    <xf numFmtId="0" fontId="1" fillId="7" borderId="12" xfId="0" applyFont="1" applyFill="1" applyBorder="1" applyAlignment="1">
      <alignment vertical="center" wrapText="1"/>
    </xf>
    <xf numFmtId="0" fontId="1" fillId="7" borderId="4" xfId="0" applyFont="1" applyFill="1" applyBorder="1" applyAlignment="1">
      <alignment horizontal="center" vertical="center" wrapText="1"/>
    </xf>
    <xf numFmtId="0" fontId="2" fillId="6" borderId="13" xfId="0" applyFont="1" applyFill="1" applyBorder="1" applyAlignment="1">
      <alignment horizontal="left" vertical="center" wrapText="1"/>
    </xf>
    <xf numFmtId="0" fontId="1" fillId="2" borderId="9" xfId="0" applyFont="1" applyFill="1" applyBorder="1" applyAlignment="1">
      <alignment vertical="center"/>
    </xf>
    <xf numFmtId="0" fontId="1" fillId="6" borderId="14" xfId="0" applyFont="1" applyFill="1" applyBorder="1" applyAlignment="1">
      <alignment horizontal="center" vertical="center"/>
    </xf>
    <xf numFmtId="0" fontId="1" fillId="5" borderId="12" xfId="0" applyFont="1" applyFill="1" applyBorder="1" applyAlignment="1">
      <alignment vertical="center" wrapText="1"/>
    </xf>
    <xf numFmtId="0" fontId="1" fillId="5" borderId="4" xfId="0" applyFont="1" applyFill="1" applyBorder="1" applyAlignment="1">
      <alignment horizontal="center" vertical="center" wrapText="1"/>
    </xf>
    <xf numFmtId="0" fontId="2" fillId="7" borderId="13" xfId="0" applyFont="1" applyFill="1" applyBorder="1" applyAlignment="1">
      <alignment horizontal="left" vertical="center" wrapText="1"/>
    </xf>
    <xf numFmtId="0" fontId="1" fillId="7" borderId="14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left" vertical="center" wrapText="1"/>
    </xf>
    <xf numFmtId="0" fontId="1" fillId="5" borderId="14" xfId="0" applyFont="1" applyFill="1" applyBorder="1" applyAlignment="1">
      <alignment horizontal="center" vertical="center" wrapText="1"/>
    </xf>
    <xf numFmtId="0" fontId="1" fillId="6" borderId="12" xfId="0" applyFont="1" applyFill="1" applyBorder="1" applyAlignment="1">
      <alignment vertical="center"/>
    </xf>
    <xf numFmtId="0" fontId="1" fillId="6" borderId="12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vertical="center"/>
    </xf>
    <xf numFmtId="0" fontId="1" fillId="6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left" vertical="center" wrapText="1"/>
    </xf>
    <xf numFmtId="0" fontId="1" fillId="4" borderId="15" xfId="0" applyFont="1" applyFill="1" applyBorder="1" applyAlignment="1">
      <alignment vertical="center" wrapText="1"/>
    </xf>
    <xf numFmtId="0" fontId="1" fillId="4" borderId="15" xfId="0" applyFont="1" applyFill="1" applyBorder="1" applyAlignment="1">
      <alignment horizontal="center" vertical="center" wrapText="1"/>
    </xf>
    <xf numFmtId="0" fontId="1" fillId="5" borderId="15" xfId="0" applyFont="1" applyFill="1" applyBorder="1" applyAlignment="1">
      <alignment vertical="center" wrapText="1"/>
    </xf>
    <xf numFmtId="0" fontId="1" fillId="5" borderId="15" xfId="0" applyFont="1" applyFill="1" applyBorder="1" applyAlignment="1">
      <alignment horizontal="center" vertical="center" wrapText="1"/>
    </xf>
    <xf numFmtId="0" fontId="3" fillId="0" borderId="0" xfId="0" applyFont="1"/>
    <xf numFmtId="2" fontId="0" fillId="0" borderId="0" xfId="0" applyNumberFormat="1"/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769620</xdr:colOff>
          <xdr:row>0</xdr:row>
          <xdr:rowOff>152400</xdr:rowOff>
        </xdr:from>
        <xdr:to>
          <xdr:col>3</xdr:col>
          <xdr:colOff>419100</xdr:colOff>
          <xdr:row>3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Palissade">
      <a:dk1>
        <a:srgbClr val="000000"/>
      </a:dk1>
      <a:lt1>
        <a:sysClr val="window" lastClr="FFFFFF"/>
      </a:lt1>
      <a:dk2>
        <a:srgbClr val="5E5E5E"/>
      </a:dk2>
      <a:lt2>
        <a:srgbClr val="DDDDDD"/>
      </a:lt2>
      <a:accent1>
        <a:srgbClr val="418AB3"/>
      </a:accent1>
      <a:accent2>
        <a:srgbClr val="A6B727"/>
      </a:accent2>
      <a:accent3>
        <a:srgbClr val="F69200"/>
      </a:accent3>
      <a:accent4>
        <a:srgbClr val="838383"/>
      </a:accent4>
      <a:accent5>
        <a:srgbClr val="FEC306"/>
      </a:accent5>
      <a:accent6>
        <a:srgbClr val="DF5327"/>
      </a:accent6>
      <a:hlink>
        <a:srgbClr val="F59E00"/>
      </a:hlink>
      <a:folHlink>
        <a:srgbClr val="B2B2B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0F4D3-32AF-415D-A432-7A6E7BBEB876}">
  <sheetPr codeName="Feuil1"/>
  <dimension ref="A1"/>
  <sheetViews>
    <sheetView tabSelected="1" workbookViewId="0">
      <selection activeCell="E9" sqref="E9"/>
    </sheetView>
  </sheetViews>
  <sheetFormatPr baseColWidth="10" defaultColWidth="11.44140625"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0</xdr:col>
                <xdr:colOff>769620</xdr:colOff>
                <xdr:row>0</xdr:row>
                <xdr:rowOff>152400</xdr:rowOff>
              </from>
              <to>
                <xdr:col>3</xdr:col>
                <xdr:colOff>419100</xdr:colOff>
                <xdr:row>3</xdr:row>
                <xdr:rowOff>38100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BB9D0-FA70-4F51-AA60-26AE435411B7}">
  <sheetPr codeName="Feuil4"/>
  <dimension ref="A1:A6"/>
  <sheetViews>
    <sheetView workbookViewId="0">
      <selection activeCell="F11" sqref="F11"/>
    </sheetView>
  </sheetViews>
  <sheetFormatPr baseColWidth="10" defaultColWidth="11.44140625"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6FC2-1898-4E33-AC51-1962F88A7C77}">
  <sheetPr codeName="Feuil2">
    <pageSetUpPr fitToPage="1"/>
  </sheetPr>
  <dimension ref="A1:L44"/>
  <sheetViews>
    <sheetView zoomScaleNormal="100" workbookViewId="0">
      <selection activeCell="H9" sqref="H9"/>
    </sheetView>
  </sheetViews>
  <sheetFormatPr baseColWidth="10" defaultColWidth="47.44140625" defaultRowHeight="14.4" x14ac:dyDescent="0.3"/>
  <cols>
    <col min="1" max="1" width="41" style="1" bestFit="1" customWidth="1"/>
    <col min="2" max="2" width="64.33203125" bestFit="1" customWidth="1"/>
    <col min="3" max="3" width="7.44140625" style="2" customWidth="1"/>
    <col min="4" max="4" width="17.109375" customWidth="1"/>
    <col min="5" max="11" width="8.33203125" customWidth="1"/>
    <col min="12" max="12" width="8.5546875" customWidth="1"/>
  </cols>
  <sheetData>
    <row r="1" spans="1:12" ht="18.600000000000001" thickBot="1" x14ac:dyDescent="0.4">
      <c r="A1" s="53" t="s">
        <v>6</v>
      </c>
      <c r="B1" s="53"/>
      <c r="C1" s="53"/>
      <c r="D1" s="20" t="s">
        <v>8</v>
      </c>
      <c r="E1" s="19" t="s">
        <v>7</v>
      </c>
      <c r="F1" s="19" t="s">
        <v>7</v>
      </c>
      <c r="G1" s="19" t="s">
        <v>7</v>
      </c>
      <c r="H1" s="19" t="s">
        <v>7</v>
      </c>
      <c r="I1" s="19" t="s">
        <v>7</v>
      </c>
      <c r="J1" s="19" t="s">
        <v>7</v>
      </c>
      <c r="K1" s="19" t="s">
        <v>7</v>
      </c>
      <c r="L1" s="19" t="s">
        <v>7</v>
      </c>
    </row>
    <row r="2" spans="1:12" ht="29.4" thickTop="1" x14ac:dyDescent="0.3">
      <c r="A2" s="15" t="s">
        <v>9</v>
      </c>
      <c r="B2" s="39" t="s">
        <v>10</v>
      </c>
      <c r="C2" s="40">
        <v>15</v>
      </c>
      <c r="D2" s="21" t="str">
        <f>IF(COUNT(E2:L2)&gt;0,AVERAGE(E2:L2),"")</f>
        <v/>
      </c>
    </row>
    <row r="3" spans="1:12" ht="15" customHeight="1" x14ac:dyDescent="0.3">
      <c r="A3" s="15"/>
      <c r="B3" s="9" t="s">
        <v>11</v>
      </c>
      <c r="C3" s="11">
        <v>20</v>
      </c>
      <c r="D3" s="21">
        <f t="shared" ref="D3:D19" si="0">IF(COUNT(E3:L3)&gt;0,AVERAGE(E3:L3),"")</f>
        <v>15</v>
      </c>
      <c r="E3">
        <v>13</v>
      </c>
      <c r="F3">
        <v>19</v>
      </c>
      <c r="G3">
        <v>13</v>
      </c>
    </row>
    <row r="4" spans="1:12" x14ac:dyDescent="0.3">
      <c r="A4" s="15"/>
      <c r="B4" s="9" t="s">
        <v>12</v>
      </c>
      <c r="C4" s="11">
        <v>20</v>
      </c>
      <c r="D4" s="21" t="str">
        <f t="shared" si="0"/>
        <v/>
      </c>
    </row>
    <row r="5" spans="1:12" x14ac:dyDescent="0.3">
      <c r="A5" s="15"/>
      <c r="B5" s="3" t="s">
        <v>13</v>
      </c>
      <c r="C5" s="11">
        <v>5</v>
      </c>
      <c r="D5" s="21">
        <f t="shared" si="0"/>
        <v>5</v>
      </c>
      <c r="E5">
        <v>5</v>
      </c>
    </row>
    <row r="6" spans="1:12" x14ac:dyDescent="0.3">
      <c r="A6" s="15"/>
      <c r="B6" s="9" t="s">
        <v>14</v>
      </c>
      <c r="C6" s="11">
        <v>30</v>
      </c>
      <c r="D6" s="21">
        <f t="shared" si="0"/>
        <v>6</v>
      </c>
      <c r="E6">
        <v>6</v>
      </c>
    </row>
    <row r="7" spans="1:12" ht="15" thickBot="1" x14ac:dyDescent="0.35">
      <c r="A7" s="30"/>
      <c r="B7" s="44" t="s">
        <v>15</v>
      </c>
      <c r="C7" s="45">
        <v>10</v>
      </c>
      <c r="D7" s="21">
        <f t="shared" si="0"/>
        <v>10</v>
      </c>
      <c r="E7">
        <v>10</v>
      </c>
    </row>
    <row r="8" spans="1:12" ht="29.4" thickTop="1" x14ac:dyDescent="0.3">
      <c r="A8" s="16" t="s">
        <v>16</v>
      </c>
      <c r="B8" s="41" t="s">
        <v>17</v>
      </c>
      <c r="C8" s="42">
        <v>20</v>
      </c>
      <c r="D8" s="21" t="str">
        <f t="shared" si="0"/>
        <v/>
      </c>
    </row>
    <row r="9" spans="1:12" ht="15" customHeight="1" x14ac:dyDescent="0.3">
      <c r="A9" s="16"/>
      <c r="B9" s="6" t="s">
        <v>18</v>
      </c>
      <c r="C9" s="7">
        <v>15</v>
      </c>
      <c r="D9" s="21" t="str">
        <f t="shared" si="0"/>
        <v/>
      </c>
    </row>
    <row r="10" spans="1:12" ht="15" customHeight="1" x14ac:dyDescent="0.3">
      <c r="A10" s="16"/>
      <c r="B10" s="6" t="s">
        <v>19</v>
      </c>
      <c r="C10" s="7">
        <v>20</v>
      </c>
      <c r="D10" s="21" t="str">
        <f t="shared" si="0"/>
        <v/>
      </c>
    </row>
    <row r="11" spans="1:12" x14ac:dyDescent="0.3">
      <c r="A11" s="16"/>
      <c r="B11" s="3" t="s">
        <v>13</v>
      </c>
      <c r="C11" s="7">
        <v>5</v>
      </c>
      <c r="D11" s="21">
        <f t="shared" si="0"/>
        <v>5</v>
      </c>
      <c r="E11">
        <v>5</v>
      </c>
    </row>
    <row r="12" spans="1:12" ht="29.4" thickBot="1" x14ac:dyDescent="0.35">
      <c r="A12" s="46"/>
      <c r="B12" s="47" t="s">
        <v>20</v>
      </c>
      <c r="C12" s="48">
        <v>40</v>
      </c>
      <c r="D12" s="21" t="str">
        <f t="shared" si="0"/>
        <v/>
      </c>
    </row>
    <row r="13" spans="1:12" ht="43.8" thickTop="1" x14ac:dyDescent="0.3">
      <c r="A13" s="18" t="s">
        <v>21</v>
      </c>
      <c r="B13" s="33" t="s">
        <v>22</v>
      </c>
      <c r="C13" s="43">
        <v>15</v>
      </c>
      <c r="D13" s="21" t="str">
        <f t="shared" si="0"/>
        <v/>
      </c>
    </row>
    <row r="14" spans="1:12" ht="15" customHeight="1" x14ac:dyDescent="0.3">
      <c r="A14" s="18"/>
      <c r="B14" s="5" t="s">
        <v>23</v>
      </c>
      <c r="C14" s="8">
        <v>15</v>
      </c>
      <c r="D14" s="21" t="str">
        <f t="shared" si="0"/>
        <v/>
      </c>
    </row>
    <row r="15" spans="1:12" x14ac:dyDescent="0.3">
      <c r="A15" s="18"/>
      <c r="B15" s="5" t="s">
        <v>24</v>
      </c>
      <c r="C15" s="8">
        <v>25</v>
      </c>
      <c r="D15" s="21" t="str">
        <f t="shared" si="0"/>
        <v/>
      </c>
    </row>
    <row r="16" spans="1:12" x14ac:dyDescent="0.3">
      <c r="A16" s="18"/>
      <c r="B16" s="3" t="s">
        <v>13</v>
      </c>
      <c r="C16" s="8">
        <v>5</v>
      </c>
      <c r="D16" s="21">
        <f t="shared" si="0"/>
        <v>5</v>
      </c>
      <c r="E16">
        <v>5</v>
      </c>
    </row>
    <row r="17" spans="1:4" x14ac:dyDescent="0.3">
      <c r="A17" s="18"/>
      <c r="B17" s="5" t="s">
        <v>25</v>
      </c>
      <c r="C17" s="8">
        <v>15</v>
      </c>
      <c r="D17" s="21" t="str">
        <f t="shared" si="0"/>
        <v/>
      </c>
    </row>
    <row r="18" spans="1:4" x14ac:dyDescent="0.3">
      <c r="A18" s="18"/>
      <c r="B18" s="5" t="s">
        <v>26</v>
      </c>
      <c r="C18" s="8">
        <v>10</v>
      </c>
      <c r="D18" s="21" t="str">
        <f t="shared" si="0"/>
        <v/>
      </c>
    </row>
    <row r="19" spans="1:4" ht="15" thickBot="1" x14ac:dyDescent="0.35">
      <c r="A19" s="37"/>
      <c r="B19" s="49" t="s">
        <v>27</v>
      </c>
      <c r="C19" s="50">
        <v>15</v>
      </c>
      <c r="D19" s="21" t="str">
        <f t="shared" si="0"/>
        <v/>
      </c>
    </row>
    <row r="20" spans="1:4" ht="15" thickTop="1" x14ac:dyDescent="0.3"/>
    <row r="23" spans="1:4" ht="15" customHeight="1" x14ac:dyDescent="0.3"/>
    <row r="28" spans="1:4" ht="15.9" customHeight="1" x14ac:dyDescent="0.3"/>
    <row r="29" spans="1:4" ht="15.9" customHeight="1" x14ac:dyDescent="0.3"/>
    <row r="33" ht="15" customHeight="1" x14ac:dyDescent="0.3"/>
    <row r="44" ht="15" customHeight="1" x14ac:dyDescent="0.3"/>
  </sheetData>
  <mergeCells count="1">
    <mergeCell ref="A1:C1"/>
  </mergeCells>
  <pageMargins left="0.7" right="0.7" top="0.75" bottom="0.75" header="0.3" footer="0.3"/>
  <pageSetup paperSize="9" scale="87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70011-C3A7-4606-A784-E61F2A51035F}">
  <sheetPr codeName="Feuil3"/>
  <dimension ref="A1:L29"/>
  <sheetViews>
    <sheetView zoomScale="83" workbookViewId="0">
      <selection activeCell="G23" sqref="G23"/>
    </sheetView>
  </sheetViews>
  <sheetFormatPr baseColWidth="10" defaultColWidth="41.5546875" defaultRowHeight="14.4" x14ac:dyDescent="0.3"/>
  <cols>
    <col min="1" max="1" width="41" bestFit="1" customWidth="1"/>
    <col min="2" max="2" width="63.5546875" bestFit="1" customWidth="1"/>
    <col min="3" max="3" width="3.5546875" bestFit="1" customWidth="1"/>
    <col min="4" max="4" width="26.44140625" customWidth="1"/>
    <col min="5" max="12" width="5.44140625" bestFit="1" customWidth="1"/>
  </cols>
  <sheetData>
    <row r="1" spans="1:12" ht="18.600000000000001" thickBot="1" x14ac:dyDescent="0.4">
      <c r="A1" s="53" t="s">
        <v>28</v>
      </c>
      <c r="B1" s="53"/>
      <c r="C1" s="53"/>
      <c r="D1" s="23" t="s">
        <v>8</v>
      </c>
      <c r="E1" s="22" t="s">
        <v>7</v>
      </c>
      <c r="F1" s="22" t="s">
        <v>7</v>
      </c>
      <c r="G1" s="22" t="s">
        <v>7</v>
      </c>
      <c r="H1" s="19" t="s">
        <v>7</v>
      </c>
      <c r="I1" s="19" t="s">
        <v>7</v>
      </c>
      <c r="J1" s="19" t="s">
        <v>7</v>
      </c>
      <c r="K1" s="22" t="s">
        <v>7</v>
      </c>
      <c r="L1" s="22" t="s">
        <v>7</v>
      </c>
    </row>
    <row r="2" spans="1:12" ht="29.4" thickTop="1" x14ac:dyDescent="0.3">
      <c r="A2" s="15" t="s">
        <v>9</v>
      </c>
      <c r="B2" s="26" t="s">
        <v>29</v>
      </c>
      <c r="C2" s="27">
        <v>10</v>
      </c>
      <c r="D2" s="21" t="str">
        <f>IF(COUNT(E2:L2)&gt;0,AVERAGE(E2:L2),"")</f>
        <v/>
      </c>
    </row>
    <row r="3" spans="1:12" ht="15" customHeight="1" x14ac:dyDescent="0.3">
      <c r="A3" s="15"/>
      <c r="B3" s="10" t="s">
        <v>30</v>
      </c>
      <c r="C3" s="13">
        <v>15</v>
      </c>
      <c r="D3" s="21" t="str">
        <f t="shared" ref="D3:D28" si="0">IF(COUNT(E3:L3)&gt;0,AVERAGE(E3:L3),"")</f>
        <v/>
      </c>
    </row>
    <row r="4" spans="1:12" x14ac:dyDescent="0.3">
      <c r="A4" s="15"/>
      <c r="B4" s="10" t="s">
        <v>31</v>
      </c>
      <c r="C4" s="13">
        <v>15</v>
      </c>
      <c r="D4" s="21" t="str">
        <f t="shared" si="0"/>
        <v/>
      </c>
    </row>
    <row r="5" spans="1:12" x14ac:dyDescent="0.3">
      <c r="A5" s="15"/>
      <c r="B5" s="10" t="s">
        <v>32</v>
      </c>
      <c r="C5" s="13">
        <v>15</v>
      </c>
      <c r="D5" s="21" t="str">
        <f t="shared" si="0"/>
        <v/>
      </c>
    </row>
    <row r="6" spans="1:12" x14ac:dyDescent="0.3">
      <c r="A6" s="15"/>
      <c r="B6" s="3" t="s">
        <v>33</v>
      </c>
      <c r="C6" s="13">
        <v>5</v>
      </c>
      <c r="D6" s="21">
        <f>IF(COUNT(E6:L6)&gt;0,AVERAGE(E6:L6),"")</f>
        <v>13</v>
      </c>
      <c r="E6">
        <v>13</v>
      </c>
    </row>
    <row r="7" spans="1:12" x14ac:dyDescent="0.3">
      <c r="A7" s="15"/>
      <c r="B7" s="10" t="s">
        <v>34</v>
      </c>
      <c r="C7" s="13">
        <v>10</v>
      </c>
      <c r="D7" s="21" t="str">
        <f t="shared" si="0"/>
        <v/>
      </c>
    </row>
    <row r="8" spans="1:12" x14ac:dyDescent="0.3">
      <c r="A8" s="15"/>
      <c r="B8" s="4" t="s">
        <v>35</v>
      </c>
      <c r="C8" s="13">
        <v>5</v>
      </c>
      <c r="D8" s="21" t="str">
        <f t="shared" si="0"/>
        <v/>
      </c>
    </row>
    <row r="9" spans="1:12" x14ac:dyDescent="0.3">
      <c r="A9" s="15"/>
      <c r="B9" s="4" t="s">
        <v>36</v>
      </c>
      <c r="C9" s="13">
        <v>20</v>
      </c>
      <c r="D9" s="21" t="str">
        <f t="shared" si="0"/>
        <v/>
      </c>
    </row>
    <row r="10" spans="1:12" ht="15" thickBot="1" x14ac:dyDescent="0.35">
      <c r="A10" s="30"/>
      <c r="B10" s="31" t="s">
        <v>37</v>
      </c>
      <c r="C10" s="32">
        <v>5</v>
      </c>
      <c r="D10" s="21" t="str">
        <f t="shared" si="0"/>
        <v/>
      </c>
    </row>
    <row r="11" spans="1:12" ht="29.4" thickTop="1" x14ac:dyDescent="0.3">
      <c r="A11" s="17" t="s">
        <v>16</v>
      </c>
      <c r="B11" s="28" t="s">
        <v>38</v>
      </c>
      <c r="C11" s="29">
        <v>10</v>
      </c>
      <c r="D11" s="21" t="str">
        <f t="shared" si="0"/>
        <v/>
      </c>
    </row>
    <row r="12" spans="1:12" ht="15" customHeight="1" x14ac:dyDescent="0.3">
      <c r="A12" s="17"/>
      <c r="B12" s="14" t="s">
        <v>39</v>
      </c>
      <c r="C12" s="24">
        <v>15</v>
      </c>
      <c r="D12" s="21" t="str">
        <f t="shared" si="0"/>
        <v/>
      </c>
    </row>
    <row r="13" spans="1:12" x14ac:dyDescent="0.3">
      <c r="A13" s="17"/>
      <c r="B13" s="14" t="s">
        <v>40</v>
      </c>
      <c r="C13" s="24">
        <v>15</v>
      </c>
      <c r="D13" s="21" t="str">
        <f t="shared" si="0"/>
        <v/>
      </c>
    </row>
    <row r="14" spans="1:12" x14ac:dyDescent="0.3">
      <c r="A14" s="17"/>
      <c r="B14" s="14" t="s">
        <v>41</v>
      </c>
      <c r="C14" s="24">
        <v>15</v>
      </c>
      <c r="D14" s="21" t="str">
        <f t="shared" si="0"/>
        <v/>
      </c>
    </row>
    <row r="15" spans="1:12" x14ac:dyDescent="0.3">
      <c r="A15" s="17"/>
      <c r="B15" s="3" t="s">
        <v>33</v>
      </c>
      <c r="C15" s="24">
        <v>5</v>
      </c>
      <c r="D15" s="21">
        <f t="shared" si="0"/>
        <v>13</v>
      </c>
      <c r="E15">
        <v>13</v>
      </c>
    </row>
    <row r="16" spans="1:12" x14ac:dyDescent="0.3">
      <c r="A16" s="17"/>
      <c r="B16" s="14" t="s">
        <v>42</v>
      </c>
      <c r="C16" s="24">
        <v>10</v>
      </c>
      <c r="D16" s="21" t="str">
        <f t="shared" si="0"/>
        <v/>
      </c>
    </row>
    <row r="17" spans="1:5" x14ac:dyDescent="0.3">
      <c r="A17" s="17"/>
      <c r="B17" s="14" t="s">
        <v>43</v>
      </c>
      <c r="C17" s="24">
        <v>10</v>
      </c>
      <c r="D17" s="21" t="str">
        <f t="shared" si="0"/>
        <v/>
      </c>
    </row>
    <row r="18" spans="1:5" x14ac:dyDescent="0.3">
      <c r="A18" s="17"/>
      <c r="B18" s="4" t="s">
        <v>35</v>
      </c>
      <c r="C18" s="24">
        <v>5</v>
      </c>
      <c r="D18" s="21" t="str">
        <f t="shared" si="0"/>
        <v/>
      </c>
    </row>
    <row r="19" spans="1:5" x14ac:dyDescent="0.3">
      <c r="A19" s="17"/>
      <c r="B19" s="4" t="s">
        <v>36</v>
      </c>
      <c r="C19" s="24">
        <v>10</v>
      </c>
      <c r="D19" s="21" t="str">
        <f t="shared" si="0"/>
        <v/>
      </c>
    </row>
    <row r="20" spans="1:5" ht="15" thickBot="1" x14ac:dyDescent="0.35">
      <c r="A20" s="35"/>
      <c r="B20" s="31" t="s">
        <v>37</v>
      </c>
      <c r="C20" s="36">
        <v>5</v>
      </c>
      <c r="D20" s="21" t="str">
        <f t="shared" si="0"/>
        <v/>
      </c>
    </row>
    <row r="21" spans="1:5" ht="43.8" thickTop="1" x14ac:dyDescent="0.3">
      <c r="A21" s="18" t="s">
        <v>21</v>
      </c>
      <c r="B21" s="33" t="s">
        <v>44</v>
      </c>
      <c r="C21" s="34">
        <v>15</v>
      </c>
      <c r="D21" s="21" t="str">
        <f t="shared" si="0"/>
        <v/>
      </c>
    </row>
    <row r="22" spans="1:5" ht="15" customHeight="1" x14ac:dyDescent="0.3">
      <c r="A22" s="18"/>
      <c r="B22" s="5" t="s">
        <v>45</v>
      </c>
      <c r="C22" s="25">
        <v>15</v>
      </c>
      <c r="D22" s="21" t="str">
        <f t="shared" si="0"/>
        <v/>
      </c>
    </row>
    <row r="23" spans="1:5" x14ac:dyDescent="0.3">
      <c r="A23" s="18"/>
      <c r="B23" s="5" t="s">
        <v>46</v>
      </c>
      <c r="C23" s="25">
        <v>25</v>
      </c>
      <c r="D23" s="21" t="str">
        <f t="shared" si="0"/>
        <v/>
      </c>
    </row>
    <row r="24" spans="1:5" x14ac:dyDescent="0.3">
      <c r="A24" s="18"/>
      <c r="B24" s="3" t="s">
        <v>33</v>
      </c>
      <c r="C24" s="25">
        <v>5</v>
      </c>
      <c r="D24" s="21">
        <f t="shared" si="0"/>
        <v>13</v>
      </c>
      <c r="E24">
        <v>13</v>
      </c>
    </row>
    <row r="25" spans="1:5" x14ac:dyDescent="0.3">
      <c r="A25" s="18"/>
      <c r="B25" s="12" t="s">
        <v>35</v>
      </c>
      <c r="C25" s="25">
        <v>5</v>
      </c>
      <c r="D25" s="21" t="str">
        <f t="shared" si="0"/>
        <v/>
      </c>
    </row>
    <row r="26" spans="1:5" x14ac:dyDescent="0.3">
      <c r="A26" s="18"/>
      <c r="B26" s="5" t="s">
        <v>47</v>
      </c>
      <c r="C26" s="25">
        <v>10</v>
      </c>
      <c r="D26" s="21" t="str">
        <f t="shared" si="0"/>
        <v/>
      </c>
    </row>
    <row r="27" spans="1:5" x14ac:dyDescent="0.3">
      <c r="A27" s="18"/>
      <c r="B27" s="4" t="s">
        <v>36</v>
      </c>
      <c r="C27" s="25">
        <v>20</v>
      </c>
      <c r="D27" s="21" t="str">
        <f t="shared" si="0"/>
        <v/>
      </c>
    </row>
    <row r="28" spans="1:5" ht="15" thickBot="1" x14ac:dyDescent="0.35">
      <c r="A28" s="37"/>
      <c r="B28" s="31" t="s">
        <v>37</v>
      </c>
      <c r="C28" s="38">
        <v>5</v>
      </c>
      <c r="D28" s="21" t="str">
        <f t="shared" si="0"/>
        <v/>
      </c>
    </row>
    <row r="29" spans="1:5" ht="15" thickTop="1" x14ac:dyDescent="0.3"/>
  </sheetData>
  <mergeCells count="1">
    <mergeCell ref="A1:C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8B915-7714-4F2E-8F76-F88B147B1336}">
  <sheetPr codeName="Feuil5"/>
  <dimension ref="A1:H12"/>
  <sheetViews>
    <sheetView workbookViewId="0">
      <selection activeCell="H12" sqref="H12"/>
    </sheetView>
  </sheetViews>
  <sheetFormatPr baseColWidth="10" defaultColWidth="14.33203125" defaultRowHeight="14.4" x14ac:dyDescent="0.3"/>
  <cols>
    <col min="1" max="1" width="28.5546875" bestFit="1" customWidth="1"/>
    <col min="2" max="2" width="21" bestFit="1" customWidth="1"/>
    <col min="4" max="4" width="28.44140625" customWidth="1"/>
    <col min="5" max="5" width="21" bestFit="1" customWidth="1"/>
    <col min="7" max="7" width="29" customWidth="1"/>
    <col min="8" max="8" width="20.6640625" customWidth="1"/>
  </cols>
  <sheetData>
    <row r="1" spans="1:8" ht="18" x14ac:dyDescent="0.35">
      <c r="A1" s="51" t="s">
        <v>6</v>
      </c>
      <c r="B1" t="s">
        <v>48</v>
      </c>
      <c r="D1" s="51" t="s">
        <v>28</v>
      </c>
      <c r="E1" t="s">
        <v>48</v>
      </c>
      <c r="G1" s="51" t="s">
        <v>49</v>
      </c>
      <c r="H1" t="s">
        <v>48</v>
      </c>
    </row>
    <row r="2" spans="1:8" ht="43.2" x14ac:dyDescent="0.3">
      <c r="A2" s="15" t="s">
        <v>9</v>
      </c>
      <c r="B2" s="52" cm="1">
        <f t="array" ref="B2">IF(COUNT(NotesSemestre1!E2:L7)&gt;0,moyenneCoef("NotesSemestre1", "D2:D7"),"")</f>
        <v>9.3076925277709961</v>
      </c>
      <c r="D2" s="15" t="s">
        <v>9</v>
      </c>
      <c r="E2" s="52" cm="1">
        <f t="array" ref="E2">IF(COUNT(NotesSemestre2!E2:L10)&gt;0,moyenneCoef("NotesSemestre2", "D2:D10"),"")</f>
        <v>13</v>
      </c>
      <c r="G2" s="15" t="s">
        <v>9</v>
      </c>
      <c r="H2" s="52">
        <f>IF(COUNT(B2,E2)&gt;0,AVERAGE(B2,E2),"")</f>
        <v>11.153846263885498</v>
      </c>
    </row>
    <row r="3" spans="1:8" ht="43.2" x14ac:dyDescent="0.3">
      <c r="A3" s="16" t="s">
        <v>16</v>
      </c>
      <c r="B3" s="52" cm="1">
        <f t="array" ref="B3">IF(COUNT(NotesSemestre1!E8:L12)&gt;0,moyenneCoef("NotesSemestre1", "D8:D12"),"")</f>
        <v>5</v>
      </c>
      <c r="D3" s="17" t="s">
        <v>16</v>
      </c>
      <c r="E3" s="52" cm="1">
        <f t="array" ref="E3">IF(COUNT(NotesSemestre2!E11:L20)&gt;0,moyenneCoef("NotesSemestre2", "D11:D20"),"")</f>
        <v>13</v>
      </c>
      <c r="G3" s="17" t="s">
        <v>16</v>
      </c>
      <c r="H3" s="52">
        <f>IF(COUNT(B3,E3)&gt;0,AVERAGE(B3,E3),"")</f>
        <v>9</v>
      </c>
    </row>
    <row r="4" spans="1:8" ht="43.2" x14ac:dyDescent="0.3">
      <c r="A4" s="18" t="s">
        <v>21</v>
      </c>
      <c r="B4" s="52" cm="1">
        <f t="array" ref="B4">IF(COUNT(NotesSemestre1!E13:L19)&gt;0,moyenneCoef("NotesSemestre1", "D13:D19"),"")</f>
        <v>5</v>
      </c>
      <c r="D4" s="18" t="s">
        <v>21</v>
      </c>
      <c r="E4" s="52" cm="1">
        <f t="array" ref="E4">IF(COUNT(NotesSemestre2!E21:L28)&gt;0,moyenneCoef("NotesSemestre2", "D21:D28"),"")</f>
        <v>13</v>
      </c>
      <c r="G4" s="18" t="s">
        <v>21</v>
      </c>
      <c r="H4" s="52">
        <f>IF(COUNT(B4,E4)&gt;0,AVERAGE(B4,E4),"")</f>
        <v>9</v>
      </c>
    </row>
    <row r="5" spans="1:8" x14ac:dyDescent="0.3">
      <c r="B5" s="52"/>
    </row>
    <row r="6" spans="1:8" x14ac:dyDescent="0.3">
      <c r="B6" s="52"/>
    </row>
    <row r="12" spans="1:8" x14ac:dyDescent="0.3">
      <c r="B12" s="52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1ed24f2-a78f-4e52-8aa3-2bfee2962d64">
      <Terms xmlns="http://schemas.microsoft.com/office/infopath/2007/PartnerControls"/>
    </lcf76f155ced4ddcb4097134ff3c332f>
    <TaxCatchAll xmlns="976320d1-acf9-470b-91fd-984afe3f64f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4D2D34504AFA4DA5D2A77BEF812A7A" ma:contentTypeVersion="15" ma:contentTypeDescription="Crée un document." ma:contentTypeScope="" ma:versionID="076e4536bfb603e4a2bbd7ed526b18ea">
  <xsd:schema xmlns:xsd="http://www.w3.org/2001/XMLSchema" xmlns:xs="http://www.w3.org/2001/XMLSchema" xmlns:p="http://schemas.microsoft.com/office/2006/metadata/properties" xmlns:ns2="b1ed24f2-a78f-4e52-8aa3-2bfee2962d64" xmlns:ns3="976320d1-acf9-470b-91fd-984afe3f64f8" targetNamespace="http://schemas.microsoft.com/office/2006/metadata/properties" ma:root="true" ma:fieldsID="b1b44781c2ce13277f4781fdb17238d0" ns2:_="" ns3:_="">
    <xsd:import namespace="b1ed24f2-a78f-4e52-8aa3-2bfee2962d64"/>
    <xsd:import namespace="976320d1-acf9-470b-91fd-984afe3f64f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d24f2-a78f-4e52-8aa3-2bfee2962d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Balises d’images" ma:readOnly="false" ma:fieldId="{5cf76f15-5ced-4ddc-b409-7134ff3c332f}" ma:taxonomyMulti="true" ma:sspId="1e53345a-0816-489b-9a5d-f039fa85a9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6320d1-acf9-470b-91fd-984afe3f64f8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daf021b1-bfca-4a5b-a343-49f25e5c4217}" ma:internalName="TaxCatchAll" ma:showField="CatchAllData" ma:web="976320d1-acf9-470b-91fd-984afe3f64f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A32BD62-2E9E-45D6-A03B-0CC6FA7AAA0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30A7F3-B3AA-4329-8DDB-BD3AD1330D54}">
  <ds:schemaRefs>
    <ds:schemaRef ds:uri="http://schemas.microsoft.com/office/2006/metadata/properties"/>
    <ds:schemaRef ds:uri="http://schemas.microsoft.com/office/infopath/2007/PartnerControls"/>
    <ds:schemaRef ds:uri="b1ed24f2-a78f-4e52-8aa3-2bfee2962d64"/>
    <ds:schemaRef ds:uri="976320d1-acf9-470b-91fd-984afe3f64f8"/>
  </ds:schemaRefs>
</ds:datastoreItem>
</file>

<file path=customXml/itemProps3.xml><?xml version="1.0" encoding="utf-8"?>
<ds:datastoreItem xmlns:ds="http://schemas.openxmlformats.org/officeDocument/2006/customXml" ds:itemID="{F9E5548B-D4FA-44E2-BC75-25A0665ED3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1ed24f2-a78f-4e52-8aa3-2bfee2962d64"/>
    <ds:schemaRef ds:uri="976320d1-acf9-470b-91fd-984afe3f64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Semestres</vt:lpstr>
      <vt:lpstr>NotesSemestre1</vt:lpstr>
      <vt:lpstr>NotesSemestre2</vt:lpstr>
      <vt:lpstr>MoyennesAnnee</vt:lpstr>
    </vt:vector>
  </TitlesOfParts>
  <Manager/>
  <Company>Université de Poitiers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Bureau Laurent</dc:creator>
  <cp:keywords/>
  <dc:description/>
  <cp:lastModifiedBy>Jérémy Piton</cp:lastModifiedBy>
  <cp:revision/>
  <dcterms:created xsi:type="dcterms:W3CDTF">2021-04-11T08:18:39Z</dcterms:created>
  <dcterms:modified xsi:type="dcterms:W3CDTF">2024-12-17T15:21:37Z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0x010100434D2D34504AFA4DA5D2A77BEF812A7A</vt:lpwstr>
  </property>
  <property fmtid="{D5CDD505-2E9C-101B-9397-08002B2CF9AE}" pid="3" name="MediaServiceImageTags">
    <vt:lpwstr/>
  </property>
</Properties>
</file>