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BA4E81AD-27E1-463A-8554-A28C9720D871}" xr6:coauthVersionLast="47" xr6:coauthVersionMax="47" xr10:uidLastSave="{00000000-0000-0000-0000-000000000000}"/>
  <bookViews>
    <workbookView xWindow="-120" yWindow="-120" windowWidth="29040" windowHeight="15840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4" i="11" a="1"/>
  <c r="B3" i="11" a="1"/>
  <c r="E3" i="11" a="1"/>
  <c r="B2" i="11" a="1"/>
  <c r="E4" i="11" a="1"/>
  <c r="E2" i="11" a="1"/>
  <c r="E3" i="11" l="1"/>
  <c r="B2" i="11"/>
  <c r="B3" i="11"/>
  <c r="H3" i="11" s="1"/>
  <c r="B4" i="11"/>
  <c r="E2" i="11"/>
  <c r="E4" i="11"/>
  <c r="H4" i="11" l="1"/>
  <c r="H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<sst xmlns="http://schemas.openxmlformats.org/spreadsheetml/2006/main" count="92" uniqueCount="50">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</sst>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K13" sqref="K13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H9" sqref="H9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53" t="s">
        <v>6</v>
      </c>
      <c r="B1" s="53"/>
      <c r="C1" s="53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 t="str">
        <f t="shared" si="0"/>
        <v/>
      </c>
    </row>
    <row r="15" spans="1:12" ht="30" x14ac:dyDescent="0.25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23" sqref="G23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3" t="s">
        <v>28</v>
      </c>
      <c r="B1" s="53"/>
      <c r="C1" s="53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5" x14ac:dyDescent="0.25">
      <c r="A2" s="15" t="s">
        <v>9</v>
      </c>
      <c r="B2" s="52" cm="1">
        <f t="array" ref="B2">IF(COUNT(NotesSemestre1!E2:L7)&gt;0,moyenneCoef("NotesSemestre1", "D2:D7"),"")</f>
        <v>9.3076925277709961</v>
      </c>
      <c r="D2" s="15" t="s">
        <v>9</v>
      </c>
      <c r="E2" s="52" cm="1">
        <f t="array" ref="E2">IF(COUNT(NotesSemestre2!E2:L10)&gt;0,moyenneCoef("NotesSemestre2", "D2:D10"),"")</f>
        <v>13</v>
      </c>
      <c r="G2" s="15" t="s">
        <v>9</v>
      </c>
      <c r="H2" s="52">
        <f>IF(COUNT(B2,E2)&gt;0,AVERAGE(B2,E2),"")</f>
        <v>11.153846263885498</v>
      </c>
    </row>
    <row r="3" spans="1:8" ht="45" x14ac:dyDescent="0.25">
      <c r="A3" s="16" t="s">
        <v>16</v>
      </c>
      <c r="B3" s="52" cm="1">
        <f t="array" ref="B3">IF(COUNT(NotesSemestre1!E8:L12)&gt;0,moyenneCoef("NotesSemestre1", "D8:D12"),"")</f>
        <v>5</v>
      </c>
      <c r="D3" s="17" t="s">
        <v>16</v>
      </c>
      <c r="E3" s="52" cm="1">
        <f t="array" ref="E3">IF(COUNT(NotesSemestre2!E11:L20)&gt;0,moyenneCoef("NotesSemestre2", "D11:D20"),"")</f>
        <v>13</v>
      </c>
      <c r="G3" s="17" t="s">
        <v>16</v>
      </c>
      <c r="H3" s="52">
        <f>IF(COUNT(B3,E3)&gt;0,AVERAGE(B3,E3),"")</f>
        <v>9</v>
      </c>
    </row>
    <row r="4" spans="1:8" ht="45" x14ac:dyDescent="0.25">
      <c r="A4" s="18" t="s">
        <v>21</v>
      </c>
      <c r="B4" s="52" cm="1">
        <f t="array" ref="B4">IF(COUNT(NotesSemestre1!E13:L19)&gt;0,moyenneCoef("NotesSemestre1", "D13:D19"),"")</f>
        <v>5</v>
      </c>
      <c r="D4" s="18" t="s">
        <v>21</v>
      </c>
      <c r="E4" s="52" cm="1">
        <f t="array" ref="E4">IF(COUNT(NotesSemestre2!E21:L28)&gt;0,moyenneCoef("NotesSemestre2", "D21:D28"),"")</f>
        <v>13</v>
      </c>
      <c r="G4" s="18" t="s">
        <v>21</v>
      </c>
      <c r="H4" s="52">
        <f>IF(COUNT(B4,E4)&gt;0,AVERAGE(B4,E4),"")</f>
        <v>9</v>
      </c>
    </row>
    <row r="5" spans="1:8" x14ac:dyDescent="0.25">
      <c r="B5" s="52"/>
    </row>
    <row r="6" spans="1:8" x14ac:dyDescent="0.25">
      <c r="B6" s="52"/>
    </row>
    <row r="12" spans="1:8" x14ac:dyDescent="0.25">
      <c r="B12" s="5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Semestres</vt:lpstr>
      <vt:lpstr>NotesSemestre1</vt:lpstr>
      <vt:lpstr>NotesSemestre2</vt:lpstr>
      <vt:lpstr>MoyennesAnnee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2024-12-17T14:22:19Z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