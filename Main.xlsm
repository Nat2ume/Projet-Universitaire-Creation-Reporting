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BF6F80D7-DF77-44DE-B8D0-997E5F530D12}" xr6:coauthVersionLast="47" xr6:coauthVersionMax="47" xr10:uidLastSave="{00000000-0000-0000-0000-000000000000}"/>
  <bookViews>
    <workbookView xWindow="-108" yWindow="-108" windowWidth="23256" windowHeight="12576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  <sheet name="MoyennesAnnee" sheetId="11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1" l="1" a="1"/>
  <c r="E3" i="11" s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B2" i="11" a="1"/>
  <c r="B4" i="11" a="1"/>
  <c r="B3" i="11" a="1"/>
  <c r="E4" i="11" a="1"/>
  <c r="E2" i="11" a="1"/>
  <c r="B2" i="11" l="1"/>
  <c r="B3" i="11"/>
  <c r="H3" i="11" s="1"/>
  <c r="B4" i="11"/>
  <c r="H4" i="11" s="1"/>
  <c r="E2" i="11"/>
  <c r="E4" i="11"/>
  <c r="H2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<sst xmlns="http://schemas.openxmlformats.org/spreadsheetml/2006/main" count="92" uniqueCount="50">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</sst>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0" xfId="0" applyFont="1"/>
    <xf numFmtId="2" fontId="0" fillId="0" borderId="0" xfId="0" applyNumberFormat="1"/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693420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F4" sqref="F4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693420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A2" sqref="A2:A19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1" width="8.33203125" customWidth="1"/>
    <col min="12" max="12" width="8.5546875" customWidth="1"/>
  </cols>
  <sheetData>
    <row r="1" spans="1:12" ht="18.600000000000001" thickBot="1" x14ac:dyDescent="0.4">
      <c r="A1" s="53" t="s">
        <v>6</v>
      </c>
      <c r="B1" s="53"/>
      <c r="C1" s="53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 x14ac:dyDescent="0.3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3">
      <c r="A3" s="15"/>
      <c r="B3" s="9" t="s">
        <v>11</v>
      </c>
      <c r="C3" s="11">
        <v>20</v>
      </c>
      <c r="D3" s="21" t="str">
        <f t="shared" ref="D3:D19" si="0">IF(COUNT(E3:L3)&gt;0,AVERAGE(E3:L3),"")</f>
        <v/>
      </c>
    </row>
    <row r="4" spans="1:12" x14ac:dyDescent="0.3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3">
      <c r="A5" s="15"/>
      <c r="B5" s="3" t="s">
        <v>13</v>
      </c>
      <c r="C5" s="11">
        <v>5</v>
      </c>
      <c r="D5" s="21">
        <f t="shared" si="0"/>
        <v>13</v>
      </c>
      <c r="E5">
        <v>12</v>
      </c>
      <c r="F5">
        <v>14</v>
      </c>
    </row>
    <row r="6" spans="1:12" x14ac:dyDescent="0.3">
      <c r="A6" s="15"/>
      <c r="B6" s="9" t="s">
        <v>14</v>
      </c>
      <c r="C6" s="11">
        <v>30</v>
      </c>
      <c r="D6" s="21" t="str">
        <f t="shared" si="0"/>
        <v/>
      </c>
    </row>
    <row r="7" spans="1:12" ht="15" thickBot="1" x14ac:dyDescent="0.35">
      <c r="A7" s="30"/>
      <c r="B7" s="44" t="s">
        <v>15</v>
      </c>
      <c r="C7" s="45">
        <v>10</v>
      </c>
      <c r="D7" s="21" t="str">
        <f t="shared" si="0"/>
        <v/>
      </c>
    </row>
    <row r="8" spans="1:12" ht="29.4" thickTop="1" x14ac:dyDescent="0.3">
      <c r="A8" s="16" t="s">
        <v>16</v>
      </c>
      <c r="B8" s="41" t="s">
        <v>17</v>
      </c>
      <c r="C8" s="42">
        <v>20</v>
      </c>
      <c r="D8" s="21">
        <f t="shared" si="0"/>
        <v>10</v>
      </c>
      <c r="E8">
        <v>10</v>
      </c>
    </row>
    <row r="9" spans="1:12" ht="15" customHeight="1" x14ac:dyDescent="0.3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3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3">
      <c r="A11" s="16"/>
      <c r="B11" s="3" t="s">
        <v>13</v>
      </c>
      <c r="C11" s="7">
        <v>5</v>
      </c>
      <c r="D11" s="21">
        <f t="shared" si="0"/>
        <v>13</v>
      </c>
      <c r="E11">
        <v>12</v>
      </c>
      <c r="F11">
        <v>14</v>
      </c>
    </row>
    <row r="12" spans="1:12" ht="29.4" thickBot="1" x14ac:dyDescent="0.35">
      <c r="A12" s="46"/>
      <c r="B12" s="47" t="s">
        <v>20</v>
      </c>
      <c r="C12" s="48">
        <v>40</v>
      </c>
      <c r="D12" s="21" t="str">
        <f t="shared" si="0"/>
        <v/>
      </c>
    </row>
    <row r="13" spans="1:12" ht="43.8" thickTop="1" x14ac:dyDescent="0.3">
      <c r="A13" s="18" t="s">
        <v>21</v>
      </c>
      <c r="B13" s="33" t="s">
        <v>22</v>
      </c>
      <c r="C13" s="43">
        <v>15</v>
      </c>
      <c r="D13" s="21">
        <f t="shared" si="0"/>
        <v>16</v>
      </c>
      <c r="E13">
        <v>16</v>
      </c>
    </row>
    <row r="14" spans="1:12" ht="15" customHeight="1" x14ac:dyDescent="0.3">
      <c r="A14" s="18"/>
      <c r="B14" s="5" t="s">
        <v>23</v>
      </c>
      <c r="C14" s="8">
        <v>15</v>
      </c>
      <c r="D14" s="21">
        <f t="shared" si="0"/>
        <v>13</v>
      </c>
      <c r="E14">
        <v>13</v>
      </c>
    </row>
    <row r="15" spans="1:12" x14ac:dyDescent="0.3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3">
      <c r="A16" s="18"/>
      <c r="B16" s="3" t="s">
        <v>13</v>
      </c>
      <c r="C16" s="8">
        <v>5</v>
      </c>
      <c r="D16" s="21">
        <f t="shared" si="0"/>
        <v>13</v>
      </c>
      <c r="E16">
        <v>12</v>
      </c>
      <c r="F16">
        <v>14</v>
      </c>
    </row>
    <row r="17" spans="1:4" x14ac:dyDescent="0.3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3">
      <c r="A18" s="18"/>
      <c r="B18" s="5" t="s">
        <v>26</v>
      </c>
      <c r="C18" s="8">
        <v>10</v>
      </c>
      <c r="D18" s="21" t="str">
        <f t="shared" si="0"/>
        <v/>
      </c>
    </row>
    <row r="19" spans="1:4" ht="15" thickBot="1" x14ac:dyDescent="0.35">
      <c r="A19" s="37"/>
      <c r="B19" s="49" t="s">
        <v>27</v>
      </c>
      <c r="C19" s="50">
        <v>15</v>
      </c>
      <c r="D19" s="21" t="str">
        <f t="shared" si="0"/>
        <v/>
      </c>
    </row>
    <row r="20" spans="1:4" ht="15" thickTop="1" x14ac:dyDescent="0.3"/>
    <row r="23" spans="1:4" ht="15" customHeight="1" x14ac:dyDescent="0.3"/>
    <row r="28" spans="1:4" ht="15.9" customHeight="1" x14ac:dyDescent="0.3"/>
    <row r="29" spans="1:4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zoomScale="83" workbookViewId="0">
      <selection activeCell="G13" sqref="G13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53" t="s">
        <v>28</v>
      </c>
      <c r="B1" s="53"/>
      <c r="C1" s="53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 x14ac:dyDescent="0.3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3">
      <c r="A3" s="15"/>
      <c r="B3" s="10" t="s">
        <v>30</v>
      </c>
      <c r="C3" s="13">
        <v>15</v>
      </c>
      <c r="D3" s="21">
        <f t="shared" ref="D3:D28" si="0">IF(COUNT(E3:L3)&gt;0,AVERAGE(E3:L3),"")</f>
        <v>15</v>
      </c>
      <c r="E3">
        <v>15</v>
      </c>
    </row>
    <row r="4" spans="1:12" x14ac:dyDescent="0.3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3">
      <c r="A5" s="15"/>
      <c r="B5" s="10" t="s">
        <v>32</v>
      </c>
      <c r="C5" s="13">
        <v>15</v>
      </c>
      <c r="D5" s="21">
        <f t="shared" si="0"/>
        <v>12</v>
      </c>
      <c r="E5">
        <v>12</v>
      </c>
    </row>
    <row r="6" spans="1:12" x14ac:dyDescent="0.3">
      <c r="A6" s="15"/>
      <c r="B6" s="3" t="s">
        <v>33</v>
      </c>
      <c r="C6" s="13">
        <v>5</v>
      </c>
      <c r="D6" s="21" t="str">
        <f>IF(COUNT(E6:L6)&gt;0,AVERAGE(E6:L6),"")</f>
        <v/>
      </c>
    </row>
    <row r="7" spans="1:12" x14ac:dyDescent="0.3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3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3">
      <c r="A9" s="15"/>
      <c r="B9" s="4" t="s">
        <v>36</v>
      </c>
      <c r="C9" s="13">
        <v>20</v>
      </c>
      <c r="D9" s="21">
        <f t="shared" si="0"/>
        <v>2</v>
      </c>
      <c r="E9">
        <v>2</v>
      </c>
    </row>
    <row r="10" spans="1:12" ht="15" thickBot="1" x14ac:dyDescent="0.35">
      <c r="A10" s="30"/>
      <c r="B10" s="31" t="s">
        <v>37</v>
      </c>
      <c r="C10" s="32">
        <v>5</v>
      </c>
      <c r="D10" s="21" t="str">
        <f t="shared" si="0"/>
        <v/>
      </c>
    </row>
    <row r="11" spans="1:12" ht="29.4" thickTop="1" x14ac:dyDescent="0.3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3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3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3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3">
      <c r="A15" s="17"/>
      <c r="B15" s="3" t="s">
        <v>33</v>
      </c>
      <c r="C15" s="24">
        <v>5</v>
      </c>
      <c r="D15" s="21" t="str">
        <f t="shared" si="0"/>
        <v/>
      </c>
    </row>
    <row r="16" spans="1:12" x14ac:dyDescent="0.3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3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3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3">
      <c r="A19" s="17"/>
      <c r="B19" s="4" t="s">
        <v>36</v>
      </c>
      <c r="C19" s="24">
        <v>10</v>
      </c>
      <c r="D19" s="21" t="str">
        <f t="shared" si="0"/>
        <v/>
      </c>
    </row>
    <row r="20" spans="1:5" ht="15" thickBot="1" x14ac:dyDescent="0.35">
      <c r="A20" s="35"/>
      <c r="B20" s="31" t="s">
        <v>37</v>
      </c>
      <c r="C20" s="36">
        <v>5</v>
      </c>
      <c r="D20" s="21" t="str">
        <f t="shared" si="0"/>
        <v/>
      </c>
    </row>
    <row r="21" spans="1:5" ht="43.8" thickTop="1" x14ac:dyDescent="0.3">
      <c r="A21" s="18" t="s">
        <v>21</v>
      </c>
      <c r="B21" s="33" t="s">
        <v>44</v>
      </c>
      <c r="C21" s="34">
        <v>15</v>
      </c>
      <c r="D21" s="21">
        <f t="shared" si="0"/>
        <v>14</v>
      </c>
      <c r="E21">
        <v>14</v>
      </c>
    </row>
    <row r="22" spans="1:5" ht="15" customHeight="1" x14ac:dyDescent="0.3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3">
      <c r="A23" s="18"/>
      <c r="B23" s="5" t="s">
        <v>46</v>
      </c>
      <c r="C23" s="25">
        <v>25</v>
      </c>
      <c r="D23" s="21">
        <f t="shared" si="0"/>
        <v>17</v>
      </c>
      <c r="E23">
        <v>17</v>
      </c>
    </row>
    <row r="24" spans="1:5" x14ac:dyDescent="0.3">
      <c r="A24" s="18"/>
      <c r="B24" s="3" t="s">
        <v>33</v>
      </c>
      <c r="C24" s="25">
        <v>5</v>
      </c>
      <c r="D24" s="21" t="str">
        <f t="shared" si="0"/>
        <v/>
      </c>
    </row>
    <row r="25" spans="1:5" x14ac:dyDescent="0.3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3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3">
      <c r="A27" s="18"/>
      <c r="B27" s="4" t="s">
        <v>36</v>
      </c>
      <c r="C27" s="25">
        <v>20</v>
      </c>
      <c r="D27" s="21" t="str">
        <f t="shared" si="0"/>
        <v/>
      </c>
    </row>
    <row r="28" spans="1:5" ht="15" thickBot="1" x14ac:dyDescent="0.35">
      <c r="A28" s="37"/>
      <c r="B28" s="31" t="s">
        <v>37</v>
      </c>
      <c r="C28" s="38">
        <v>5</v>
      </c>
      <c r="D28" s="21" t="str">
        <f t="shared" si="0"/>
        <v/>
      </c>
    </row>
    <row r="29" spans="1:5" ht="15" thickTop="1" x14ac:dyDescent="0.3"/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/>
  <dimension ref="A1:H12"/>
  <sheetViews>
    <sheetView workbookViewId="0">
      <selection activeCell="H12" sqref="H12"/>
    </sheetView>
  </sheetViews>
  <sheetFormatPr baseColWidth="10" defaultColWidth="14.33203125" defaultRowHeight="14.4" x14ac:dyDescent="0.3"/>
  <cols>
    <col min="1" max="1" width="28.5546875" bestFit="1" customWidth="1"/>
    <col min="2" max="2" width="21" bestFit="1" customWidth="1"/>
    <col min="4" max="4" width="28.44140625" customWidth="1"/>
    <col min="5" max="5" width="21" bestFit="1" customWidth="1"/>
    <col min="7" max="7" width="29" customWidth="1"/>
    <col min="8" max="8" width="20.77734375" customWidth="1"/>
  </cols>
  <sheetData>
    <row r="1" spans="1:8" ht="18" x14ac:dyDescent="0.35">
      <c r="A1" s="51" t="s">
        <v>6</v>
      </c>
      <c r="B1" t="s">
        <v>48</v>
      </c>
      <c r="D1" s="51" t="s">
        <v>28</v>
      </c>
      <c r="E1" t="s">
        <v>48</v>
      </c>
      <c r="G1" s="51" t="s">
        <v>49</v>
      </c>
      <c r="H1" t="s">
        <v>48</v>
      </c>
    </row>
    <row r="2" spans="1:8" ht="43.2" x14ac:dyDescent="0.3">
      <c r="A2" s="15" t="s">
        <v>9</v>
      </c>
      <c r="B2" s="52" cm="1">
        <f t="array" ref="B2">IF(COUNT(NotesSemestre1!E2:L7)&gt;0,moyenneCoef("NotesSemestre1", "D2:D7"),"")</f>
        <v>13</v>
      </c>
      <c r="D2" s="15" t="s">
        <v>9</v>
      </c>
      <c r="E2" s="52" cm="1">
        <f t="array" ref="E2">IF(COUNT(NotesSemestre2!E2:L10)&gt;0,moyenneCoef("NotesSemestre2", "D2:D10"),"")</f>
        <v>8.8999996185302734</v>
      </c>
      <c r="G2" s="15" t="s">
        <v>9</v>
      </c>
      <c r="H2" s="52">
        <f>IF(COUNT(B2,E2)&gt;0,AVERAGE(B2,E2),"")</f>
        <v>10.949999809265137</v>
      </c>
    </row>
    <row r="3" spans="1:8" ht="43.2" x14ac:dyDescent="0.3">
      <c r="A3" s="16" t="s">
        <v>16</v>
      </c>
      <c r="B3" s="52" cm="1">
        <f t="array" ref="B3">IF(COUNT(NotesSemestre1!E8:L12)&gt;0,moyenneCoef("NotesSemestre1", "D8:D12"),"")</f>
        <v>10.600000381469727</v>
      </c>
      <c r="D3" s="17" t="s">
        <v>16</v>
      </c>
      <c r="E3" s="52" t="str" cm="1">
        <f t="array" ref="E3">IF(COUNT(NotesSemestre2!E11:L20)&gt;0,moyenneCoef("NotesSemestre2", "D11:D20"),"")</f>
        <v/>
      </c>
      <c r="G3" s="17" t="s">
        <v>16</v>
      </c>
      <c r="H3" s="52">
        <f>IF(COUNT(B3,E3)&gt;0,AVERAGE(B3,E3),"")</f>
        <v>10.600000381469727</v>
      </c>
    </row>
    <row r="4" spans="1:8" ht="43.2" x14ac:dyDescent="0.3">
      <c r="A4" s="18" t="s">
        <v>21</v>
      </c>
      <c r="B4" s="52" cm="1">
        <f t="array" ref="B4">IF(COUNT(NotesSemestre1!E13:L19)&gt;0,moyenneCoef("NotesSemestre1", "D13:D19"),"")</f>
        <v>14.285714149475098</v>
      </c>
      <c r="D4" s="18" t="s">
        <v>21</v>
      </c>
      <c r="E4" s="52" cm="1">
        <f t="array" ref="E4">IF(COUNT(NotesSemestre2!E21:L28)&gt;0,moyenneCoef("NotesSemestre2", "D21:D28"),"")</f>
        <v>15.875</v>
      </c>
      <c r="G4" s="18" t="s">
        <v>21</v>
      </c>
      <c r="H4" s="52">
        <f>IF(COUNT(B4,E4)&gt;0,AVERAGE(B4,E4),"")</f>
        <v>15.080357074737549</v>
      </c>
    </row>
    <row r="5" spans="1:8" x14ac:dyDescent="0.3">
      <c r="B5" s="52"/>
    </row>
    <row r="6" spans="1:8" x14ac:dyDescent="0.3">
      <c r="B6" s="52"/>
    </row>
    <row r="12" spans="1:8" x14ac:dyDescent="0.3">
      <c r="B12" s="52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Semestres</vt:lpstr>
      <vt:lpstr>NotesSemestre1</vt:lpstr>
      <vt:lpstr>NotesSemestre2</vt:lpstr>
      <vt:lpstr>MoyennesAnnee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2024-12-17T13:38:43Z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