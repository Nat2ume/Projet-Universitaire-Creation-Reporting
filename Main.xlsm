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0374299B-458D-4A20-80F0-2AA15B715E74}" xr6:coauthVersionLast="47" xr6:coauthVersionMax="47" xr10:uidLastSave="{00000000-0000-0000-0000-000000000000}"/>
  <bookViews>
    <workbookView xWindow="-108" yWindow="-108" windowWidth="23256" windowHeight="12576" tabRatio="925" activeTab="3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1" l="1" a="1"/>
  <c r="E3" i="11" s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4" i="11" a="1"/>
  <c r="E2" i="11" a="1"/>
  <c r="E4" i="11" a="1"/>
  <c r="B2" i="11" a="1"/>
  <c r="B3" i="11" a="1"/>
  <c r="B2" i="11" l="1"/>
  <c r="H2" i="11" s="1"/>
  <c r="B3" i="11"/>
  <c r="H3" i="11" s="1"/>
  <c r="B4" i="11"/>
  <c r="H4" i="11" s="1"/>
  <c r="E2" i="11"/>
  <c r="E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<sst xmlns="http://schemas.openxmlformats.org/spreadsheetml/2006/main" count="92" uniqueCount="50">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</sst>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F4" sqref="F4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E5" sqref="E5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53" t="s">
        <v>6</v>
      </c>
      <c r="B1" s="53"/>
      <c r="C1" s="53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 t="str">
        <f t="shared" ref="D3:D19" si="0">IF(COUNT(E3:L3)&gt;0,AVERAGE(E3:L3),"")</f>
        <v/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13</v>
      </c>
      <c r="E5">
        <v>12</v>
      </c>
      <c r="F5">
        <v>14</v>
      </c>
    </row>
    <row r="6" spans="1:12" x14ac:dyDescent="0.3">
      <c r="A6" s="15"/>
      <c r="B6" s="9" t="s">
        <v>14</v>
      </c>
      <c r="C6" s="11">
        <v>30</v>
      </c>
      <c r="D6" s="21" t="str">
        <f t="shared" si="0"/>
        <v/>
      </c>
    </row>
    <row r="7" spans="1:12" ht="15" thickBot="1" x14ac:dyDescent="0.35">
      <c r="A7" s="30"/>
      <c r="B7" s="44" t="s">
        <v>15</v>
      </c>
      <c r="C7" s="45">
        <v>10</v>
      </c>
      <c r="D7" s="21" t="str">
        <f t="shared" si="0"/>
        <v/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>
        <f t="shared" si="0"/>
        <v>10</v>
      </c>
      <c r="E8">
        <v>10</v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13</v>
      </c>
      <c r="E11">
        <v>12</v>
      </c>
      <c r="F11">
        <v>14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3">
      <c r="A14" s="18"/>
      <c r="B14" s="5" t="s">
        <v>23</v>
      </c>
      <c r="C14" s="8">
        <v>15</v>
      </c>
      <c r="D14" s="21">
        <f t="shared" si="0"/>
        <v>13</v>
      </c>
      <c r="E14">
        <v>13</v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13</v>
      </c>
      <c r="E16">
        <v>12</v>
      </c>
      <c r="F16">
        <v>14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abSelected="1" zoomScale="83" workbookViewId="0">
      <selection activeCell="E29" sqref="E29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3" t="s">
        <v>28</v>
      </c>
      <c r="B1" s="53"/>
      <c r="C1" s="53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>
        <f t="shared" si="0"/>
        <v>12</v>
      </c>
      <c r="E5">
        <v>12</v>
      </c>
    </row>
    <row r="6" spans="1:12" x14ac:dyDescent="0.3">
      <c r="A6" s="15"/>
      <c r="B6" s="3" t="s">
        <v>33</v>
      </c>
      <c r="C6" s="13">
        <v>5</v>
      </c>
      <c r="D6" s="21" t="str">
        <f>IF(COUNT(E6:L6)&gt;0,AVERAGE(E6:L6),"")</f>
        <v/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 t="str">
        <f t="shared" si="0"/>
        <v/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3">
      <c r="A24" s="18"/>
      <c r="B24" s="3" t="s">
        <v>33</v>
      </c>
      <c r="C24" s="25">
        <v>5</v>
      </c>
      <c r="D24" s="21" t="str">
        <f t="shared" si="0"/>
        <v/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77734375" customWidth="1"/>
  </cols>
  <sheetData>
    <row r="1" spans="1:8" ht="18" x14ac:dyDescent="0.35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3.2" x14ac:dyDescent="0.3">
      <c r="A2" s="15" t="s">
        <v>9</v>
      </c>
      <c r="B2" s="52" cm="1">
        <f t="array" ref="B2">IF(COUNT(NotesSemestre1!E2:L7)&gt;0,moyenneCoef("NotesSemestre1", "D2:D7"),"")</f>
        <v>13</v>
      </c>
      <c r="D2" s="15" t="s">
        <v>9</v>
      </c>
      <c r="E2" s="52" cm="1">
        <f t="array" ref="E2">IF(COUNT(NotesSemestre2!E2:L10)&gt;0,moyenneCoef("NotesSemestre2", "D2:D10"),"")</f>
        <v>6.2857141494750977</v>
      </c>
      <c r="G2" s="15" t="s">
        <v>9</v>
      </c>
      <c r="H2" s="52">
        <f>IF(COUNT(B2,E2)&gt;0,AVERAGE(B2,E2),"")</f>
        <v>9.6428570747375488</v>
      </c>
    </row>
    <row r="3" spans="1:8" ht="43.2" x14ac:dyDescent="0.3">
      <c r="A3" s="16" t="s">
        <v>16</v>
      </c>
      <c r="B3" s="52" cm="1">
        <f t="array" ref="B3">IF(COUNT(NotesSemestre1!E8:L12)&gt;0,moyenneCoef("NotesSemestre1", "D8:D12"),"")</f>
        <v>10.600000381469727</v>
      </c>
      <c r="D3" s="17" t="s">
        <v>16</v>
      </c>
      <c r="E3" s="52" t="str" cm="1">
        <f t="array" ref="E3">IF(COUNT(NotesSemestre2!E11:L20)&gt;0,moyenneCoef("NotesSemestre2", "D11:D20"),"")</f>
        <v/>
      </c>
      <c r="G3" s="17" t="s">
        <v>16</v>
      </c>
      <c r="H3" s="52">
        <f>IF(COUNT(B3,E3)&gt;0,AVERAGE(B3,E3),"")</f>
        <v>10.600000381469727</v>
      </c>
    </row>
    <row r="4" spans="1:8" ht="43.2" x14ac:dyDescent="0.3">
      <c r="A4" s="18" t="s">
        <v>21</v>
      </c>
      <c r="B4" s="52" cm="1">
        <f t="array" ref="B4">IF(COUNT(NotesSemestre1!E13:L19)&gt;0,moyenneCoef("NotesSemestre1", "D13:D19"),"")</f>
        <v>14.285714149475098</v>
      </c>
      <c r="D4" s="18" t="s">
        <v>21</v>
      </c>
      <c r="E4" s="52" cm="1">
        <f t="array" ref="E4">IF(COUNT(NotesSemestre2!E21:L28)&gt;0,moyenneCoef("NotesSemestre2", "D21:D28"),"")</f>
        <v>15.875</v>
      </c>
      <c r="G4" s="18" t="s">
        <v>21</v>
      </c>
      <c r="H4" s="52">
        <f>IF(COUNT(B4,E4)&gt;0,AVERAGE(B4,E4),"")</f>
        <v>15.080357074737549</v>
      </c>
    </row>
    <row r="5" spans="1:8" x14ac:dyDescent="0.3">
      <c r="B5" s="52"/>
    </row>
    <row r="6" spans="1:8" x14ac:dyDescent="0.3">
      <c r="B6" s="52"/>
    </row>
    <row r="12" spans="1:8" x14ac:dyDescent="0.3">
      <c r="B12" s="5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Semestres</vt:lpstr>
      <vt:lpstr>NotesSemestre1</vt:lpstr>
      <vt:lpstr>NotesSemestre2</vt:lpstr>
      <vt:lpstr>MoyennesAnnee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2024-12-17T11:01:10Z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